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2ne\PycharmProjects\PVT-Program\PVT\Controler\"/>
    </mc:Choice>
  </mc:AlternateContent>
  <xr:revisionPtr revIDLastSave="0" documentId="13_ncr:1_{E2680A6B-16EA-41F1-A583-F11DEC430B49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Summary" sheetId="1" r:id="rId1"/>
    <sheet name="Results" sheetId="4" r:id="rId2"/>
    <sheet name="_xlwings.conf" sheetId="2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7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</calcChain>
</file>

<file path=xl/sharedStrings.xml><?xml version="1.0" encoding="utf-8"?>
<sst xmlns="http://schemas.openxmlformats.org/spreadsheetml/2006/main" count="37" uniqueCount="31">
  <si>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</si>
  <si>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</si>
  <si>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</si>
  <si>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</si>
  <si>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</si>
  <si>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</si>
  <si>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</si>
  <si>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</si>
  <si>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</si>
  <si>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</si>
  <si>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</si>
  <si>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</si>
  <si>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</si>
  <si>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</si>
  <si>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</si>
  <si>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Temperatura (R)</t>
  </si>
  <si>
    <t>°API</t>
  </si>
  <si>
    <t>ϒgas</t>
  </si>
  <si>
    <t>ϒoil</t>
  </si>
  <si>
    <t>Rs</t>
  </si>
  <si>
    <t>Bo</t>
  </si>
  <si>
    <t>Uo</t>
  </si>
  <si>
    <t>Correlaciones</t>
  </si>
  <si>
    <t>Standing</t>
  </si>
  <si>
    <t>PROPIEDADES Y CORRELACIONES</t>
  </si>
  <si>
    <t>DATOS</t>
  </si>
  <si>
    <t>n°</t>
  </si>
  <si>
    <t>Presion_test (psi)</t>
  </si>
  <si>
    <t>Pb (psi)</t>
  </si>
  <si>
    <t>Beal</t>
  </si>
  <si>
    <t>Rsb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</si>
</sst>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Narin bold"/>
    </font>
    <font>
      <b/>
      <sz val="12"/>
      <color theme="1"/>
      <name val="Narin Bold"/>
    </font>
    <font>
      <sz val="12"/>
      <color rgb="FF92D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2" fillId="2" borderId="0" xfId="0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3" fillId="2" borderId="0" xfId="0" applyFont="1" applyFill="1"/>
    <xf numFmtId="0" fontId="0" fillId="2" borderId="0" xfId="0" applyFill="1" applyAlignment="1">
      <alignment horizontal="right"/>
    </xf>
    <xf numFmtId="0" fontId="0" fillId="0" borderId="0" xfId="0" applyBorder="1"/>
    <xf numFmtId="0" fontId="2" fillId="2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9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99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6"/>
  <sheetViews>
    <sheetView tabSelected="1" zoomScale="89" workbookViewId="0">
      <selection activeCell="L10" sqref="L10"/>
    </sheetView>
  </sheetViews>
  <sheetFormatPr baseColWidth="10" defaultColWidth="11" defaultRowHeight="15.75" x14ac:dyDescent="0.25"/>
  <cols>
    <col min="2" max="3" width="16.5" customWidth="1"/>
    <col min="4" max="4" width="10.625" customWidth="1"/>
    <col min="5" max="5" width="15.875" customWidth="1"/>
    <col min="9" max="9" width="13.375" customWidth="1"/>
    <col min="10" max="10" width="18.25" customWidth="1"/>
    <col min="11" max="11" width="18.875" customWidth="1"/>
    <col min="27" max="27" width="12" customWidth="1"/>
  </cols>
  <sheetData>
    <row r="1" spans="1:2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8" ht="18" x14ac:dyDescent="0.35">
      <c r="A2" s="3"/>
      <c r="B2" s="3"/>
      <c r="C2" s="3"/>
      <c r="D2" s="3"/>
      <c r="E2" s="3"/>
      <c r="F2" s="3"/>
      <c r="G2" s="3"/>
      <c r="H2" s="3"/>
      <c r="I2" s="29" t="s">
        <v>24</v>
      </c>
      <c r="J2" s="30"/>
      <c r="K2" s="31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8" x14ac:dyDescent="0.25">
      <c r="A3" s="3"/>
      <c r="B3" s="20" t="s">
        <v>25</v>
      </c>
      <c r="C3" s="21"/>
      <c r="D3" s="21"/>
      <c r="E3" s="21"/>
      <c r="F3" s="21"/>
      <c r="G3" s="22"/>
      <c r="H3" s="3"/>
      <c r="I3" s="32" t="s">
        <v>19</v>
      </c>
      <c r="J3" s="33" t="s">
        <v>20</v>
      </c>
      <c r="K3" s="34" t="s">
        <v>21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1:28" ht="18" x14ac:dyDescent="0.35">
      <c r="A4" s="17" t="s">
        <v>26</v>
      </c>
      <c r="B4" s="23"/>
      <c r="C4" s="24"/>
      <c r="D4" s="24"/>
      <c r="E4" s="24"/>
      <c r="F4" s="24"/>
      <c r="G4" s="25"/>
      <c r="H4" s="3"/>
      <c r="I4" s="35" t="s">
        <v>23</v>
      </c>
      <c r="J4" s="36" t="s">
        <v>23</v>
      </c>
      <c r="K4" s="37" t="s">
        <v>29</v>
      </c>
      <c r="L4" s="16"/>
      <c r="M4" s="3"/>
      <c r="N4" s="3"/>
      <c r="O4" s="3"/>
      <c r="P4" s="3"/>
      <c r="Q4" s="3"/>
      <c r="R4" s="3"/>
      <c r="S4" s="3"/>
      <c r="T4" s="3"/>
      <c r="U4" s="3"/>
      <c r="AA4" t="s">
        <v>22</v>
      </c>
    </row>
    <row r="5" spans="1:28" ht="18" x14ac:dyDescent="0.25">
      <c r="A5" s="17"/>
      <c r="B5" s="26" t="s">
        <v>27</v>
      </c>
      <c r="C5" s="27" t="s">
        <v>28</v>
      </c>
      <c r="D5" s="27" t="s">
        <v>16</v>
      </c>
      <c r="E5" s="27" t="s">
        <v>15</v>
      </c>
      <c r="F5" s="27" t="s">
        <v>17</v>
      </c>
      <c r="G5" s="28" t="s">
        <v>18</v>
      </c>
      <c r="H5" s="4" t="str">
        <f>IF(B5&lt;&gt;"",B5,"")</f>
        <v>Presion_test (psi)</v>
      </c>
      <c r="I5" s="38" t="s">
        <v>19</v>
      </c>
      <c r="J5" s="39" t="s">
        <v>20</v>
      </c>
      <c r="K5" s="40" t="s">
        <v>21</v>
      </c>
      <c r="L5" s="19" t="s">
        <v>30</v>
      </c>
      <c r="M5" s="3"/>
      <c r="N5" s="3"/>
      <c r="O5" s="3"/>
      <c r="P5" s="3"/>
      <c r="Q5" s="3"/>
      <c r="R5" s="3"/>
      <c r="S5" s="3"/>
      <c r="T5" s="3"/>
      <c r="U5" s="3"/>
      <c r="AA5" t="s">
        <v>23</v>
      </c>
      <c r="AB5" t="s">
        <v>29</v>
      </c>
    </row>
    <row r="6" spans="1:28" x14ac:dyDescent="0.25">
      <c r="A6" s="3">
        <f>IF(B6&lt;&gt;"",0,"")</f>
        <v>0</v>
      </c>
      <c r="B6" s="5">
        <v>3000</v>
      </c>
      <c r="C6" s="3">
        <v>2100</v>
      </c>
      <c r="D6" s="3">
        <v>25</v>
      </c>
      <c r="E6" s="3">
        <v>500</v>
      </c>
      <c r="F6" s="3">
        <v>0.75</v>
      </c>
      <c r="G6" s="3">
        <v>0.95</v>
      </c>
      <c r="H6" s="4">
        <f>IF(B6&lt;&gt;"",B6,"")</f>
        <v>3000</v>
      </c>
      <c r="I6" s="10">
        <v>499.45084954021502</v>
      </c>
      <c r="J6" s="11">
        <v>1.176463941964528</v>
      </c>
      <c r="K6" s="12">
        <v>11.565367569141596</v>
      </c>
      <c r="L6" s="4">
        <v>499.45084954021502</v>
      </c>
      <c r="M6" s="3"/>
      <c r="N6" s="3"/>
      <c r="O6" s="3"/>
      <c r="P6" s="3"/>
      <c r="Q6" s="3"/>
      <c r="R6" s="3"/>
      <c r="S6" s="3"/>
      <c r="T6" s="3"/>
      <c r="U6" s="3"/>
    </row>
    <row r="7" spans="1:28" x14ac:dyDescent="0.25">
      <c r="A7" s="3">
        <f>IF(B7&lt;&gt;"",A6+1,"")</f>
        <v>1</v>
      </c>
      <c r="B7" s="6">
        <v>2850</v>
      </c>
      <c r="C7" s="4">
        <v>2100</v>
      </c>
      <c r="D7" s="4">
        <f t="shared" ref="D7:H26" si="0">IF(D6&lt;&gt;"",D6,"")</f>
        <v>25</v>
      </c>
      <c r="E7" s="4">
        <f t="shared" ref="E7:E25" si="1">IF(E6&lt;&gt;"",E6,"")</f>
        <v>500</v>
      </c>
      <c r="F7" s="4">
        <f t="shared" ref="F7:G22" si="2">IF(F6&lt;&gt;"",F6,"")</f>
        <v>0.75</v>
      </c>
      <c r="G7" s="4">
        <f>IF(G6&lt;&gt;"",G6,"")</f>
        <v>0.95</v>
      </c>
      <c r="H7" s="4">
        <f>IF(B7&lt;&gt;"",B7,"")</f>
        <v>2850</v>
      </c>
      <c r="I7" s="8">
        <v>499.45084954021502</v>
      </c>
      <c r="J7" s="3">
        <v>1.1771169779378237</v>
      </c>
      <c r="K7" s="9">
        <v>11.365607676687931</v>
      </c>
      <c r="L7" s="4">
        <v>499.45084954021502</v>
      </c>
      <c r="M7" s="3"/>
      <c r="N7" s="3"/>
      <c r="O7" s="3"/>
      <c r="P7" s="3"/>
      <c r="Q7" s="3"/>
      <c r="R7" s="3"/>
      <c r="S7" s="3"/>
      <c r="T7" s="3"/>
      <c r="U7" s="3"/>
    </row>
    <row r="8" spans="1:28" x14ac:dyDescent="0.25">
      <c r="A8" s="3">
        <f t="shared" ref="A8:A26" si="3">IF(B8&lt;&gt;"",A7+1,"")</f>
        <v>2</v>
      </c>
      <c r="B8" s="6">
        <v>2700</v>
      </c>
      <c r="C8" s="4">
        <v>2100</v>
      </c>
      <c r="D8" s="4">
        <f t="shared" si="0"/>
        <v>25</v>
      </c>
      <c r="E8" s="4">
        <f t="shared" si="1"/>
        <v>500</v>
      </c>
      <c r="F8" s="4">
        <f t="shared" si="2"/>
        <v>0.75</v>
      </c>
      <c r="G8" s="4">
        <f t="shared" si="2"/>
        <v>0.95</v>
      </c>
      <c r="H8" s="4">
        <f t="shared" ref="H8:H25" si="4">IF(B8&lt;&gt;"",B8,"")</f>
        <v>2700</v>
      </c>
      <c r="I8" s="8">
        <v>499.45084954021502</v>
      </c>
      <c r="J8" s="3">
        <v>1.1777910241936691</v>
      </c>
      <c r="K8" s="9">
        <v>11.175310665310109</v>
      </c>
      <c r="L8" s="4">
        <v>499.45084954021502</v>
      </c>
      <c r="M8" s="3"/>
      <c r="N8" s="3"/>
      <c r="O8" s="3"/>
      <c r="P8" s="3"/>
      <c r="Q8" s="3"/>
      <c r="R8" s="3"/>
      <c r="S8" s="3"/>
      <c r="T8" s="3"/>
      <c r="U8" s="3"/>
    </row>
    <row r="9" spans="1:28" x14ac:dyDescent="0.25">
      <c r="A9" s="3">
        <f t="shared" si="3"/>
        <v>3</v>
      </c>
      <c r="B9" s="6">
        <v>2550</v>
      </c>
      <c r="C9" s="4">
        <v>2100</v>
      </c>
      <c r="D9" s="4">
        <f t="shared" si="0"/>
        <v>25</v>
      </c>
      <c r="E9" s="4">
        <f t="shared" si="1"/>
        <v>500</v>
      </c>
      <c r="F9" s="4">
        <f t="shared" si="2"/>
        <v>0.75</v>
      </c>
      <c r="G9" s="4">
        <f t="shared" si="2"/>
        <v>0.95</v>
      </c>
      <c r="H9" s="4">
        <f t="shared" si="4"/>
        <v>2550</v>
      </c>
      <c r="I9" s="8">
        <v>499.45084954021502</v>
      </c>
      <c r="J9" s="3">
        <v>1.1784879742541818</v>
      </c>
      <c r="K9" s="9">
        <v>10.994879489704433</v>
      </c>
      <c r="L9" s="4">
        <v>499.45084954021502</v>
      </c>
      <c r="M9" s="3"/>
      <c r="N9" s="3"/>
      <c r="O9" s="3"/>
      <c r="P9" s="3"/>
      <c r="Q9" s="3"/>
      <c r="R9" s="3"/>
      <c r="S9" s="3"/>
      <c r="T9" s="3"/>
      <c r="U9" s="3"/>
    </row>
    <row r="10" spans="1:28" x14ac:dyDescent="0.25">
      <c r="A10" s="3">
        <f t="shared" si="3"/>
        <v>4</v>
      </c>
      <c r="B10" s="6">
        <v>2400</v>
      </c>
      <c r="C10" s="4">
        <v>2100</v>
      </c>
      <c r="D10" s="4">
        <f t="shared" si="0"/>
        <v>25</v>
      </c>
      <c r="E10" s="4">
        <f t="shared" si="1"/>
        <v>500</v>
      </c>
      <c r="F10" s="4">
        <f t="shared" si="2"/>
        <v>0.75</v>
      </c>
      <c r="G10" s="4">
        <f t="shared" si="2"/>
        <v>0.95</v>
      </c>
      <c r="H10" s="4">
        <f t="shared" si="4"/>
        <v>2400</v>
      </c>
      <c r="I10" s="8">
        <v>499.45084954021502</v>
      </c>
      <c r="J10" s="3">
        <v>1.1792100160055239</v>
      </c>
      <c r="K10" s="9">
        <v>10.824761648272377</v>
      </c>
      <c r="L10" s="4">
        <v>499.45084954021502</v>
      </c>
      <c r="M10" s="3"/>
      <c r="N10" s="3"/>
      <c r="O10" s="3"/>
      <c r="P10" s="3"/>
      <c r="Q10" s="3"/>
      <c r="R10" s="3"/>
      <c r="S10" s="3"/>
      <c r="T10" s="3"/>
      <c r="U10" s="3"/>
    </row>
    <row r="11" spans="1:28" x14ac:dyDescent="0.25">
      <c r="A11" s="3">
        <f t="shared" si="3"/>
        <v>5</v>
      </c>
      <c r="B11" s="6">
        <v>2250</v>
      </c>
      <c r="C11" s="4">
        <v>2100</v>
      </c>
      <c r="D11" s="4">
        <f t="shared" si="0"/>
        <v>25</v>
      </c>
      <c r="E11" s="4">
        <f t="shared" si="1"/>
        <v>500</v>
      </c>
      <c r="F11" s="4">
        <f t="shared" si="2"/>
        <v>0.75</v>
      </c>
      <c r="G11" s="4">
        <f t="shared" si="2"/>
        <v>0.95</v>
      </c>
      <c r="H11" s="4">
        <f t="shared" si="4"/>
        <v>2250</v>
      </c>
      <c r="I11" s="8">
        <v>499.45084954021502</v>
      </c>
      <c r="J11" s="3">
        <v>1.1799596991742731</v>
      </c>
      <c r="K11" s="9">
        <v>10.665459346295711</v>
      </c>
      <c r="L11" s="4">
        <v>499.45084954021502</v>
      </c>
      <c r="M11" s="3"/>
      <c r="N11" s="3"/>
      <c r="O11" s="3"/>
      <c r="P11" s="3"/>
      <c r="Q11" s="3"/>
      <c r="R11" s="3"/>
      <c r="S11" s="3"/>
      <c r="T11" s="3"/>
      <c r="U11" s="3"/>
    </row>
    <row r="12" spans="1:28" s="3" customFormat="1" x14ac:dyDescent="0.25">
      <c r="A12" s="3">
        <f t="shared" si="3"/>
        <v>6</v>
      </c>
      <c r="B12" s="6">
        <v>2100</v>
      </c>
      <c r="C12" s="4">
        <v>2100</v>
      </c>
      <c r="D12" s="4">
        <f t="shared" si="0"/>
        <v>25</v>
      </c>
      <c r="E12" s="4">
        <f t="shared" si="1"/>
        <v>500</v>
      </c>
      <c r="F12" s="4">
        <f t="shared" si="2"/>
        <v>0.75</v>
      </c>
      <c r="G12" s="4">
        <f t="shared" si="2"/>
        <v>0.95</v>
      </c>
      <c r="H12" s="4">
        <f t="shared" si="4"/>
        <v>2100</v>
      </c>
      <c r="I12" s="8">
        <v>499.45084954021502</v>
      </c>
      <c r="J12" s="3">
        <v>1.1807400239342662</v>
      </c>
      <c r="K12" s="9">
        <v>10.517542152148701</v>
      </c>
      <c r="L12" s="4">
        <v>499.45084954021502</v>
      </c>
    </row>
    <row r="13" spans="1:28" x14ac:dyDescent="0.25">
      <c r="A13" s="3">
        <f t="shared" si="3"/>
        <v>7</v>
      </c>
      <c r="B13" s="6">
        <v>1950</v>
      </c>
      <c r="C13" s="4">
        <v>2100</v>
      </c>
      <c r="D13" s="4">
        <f t="shared" si="0"/>
        <v>25</v>
      </c>
      <c r="E13" s="4">
        <f t="shared" si="1"/>
        <v>500</v>
      </c>
      <c r="F13" s="4">
        <f t="shared" si="2"/>
        <v>0.75</v>
      </c>
      <c r="G13" s="4">
        <f t="shared" si="2"/>
        <v>0.95</v>
      </c>
      <c r="H13" s="4">
        <f t="shared" si="4"/>
        <v>1950</v>
      </c>
      <c r="I13" s="8">
        <v>457.29760665585263</v>
      </c>
      <c r="J13" s="3">
        <v>1.1622391791410835</v>
      </c>
      <c r="K13" s="9">
        <v>11.761857940212805</v>
      </c>
      <c r="L13" s="4">
        <v>499.45084954021502</v>
      </c>
      <c r="M13" s="3"/>
      <c r="N13" s="3"/>
      <c r="O13" s="3"/>
      <c r="P13" s="3"/>
      <c r="Q13" s="3"/>
      <c r="R13" s="3"/>
      <c r="S13" s="3"/>
      <c r="T13" s="3"/>
      <c r="U13" s="3"/>
    </row>
    <row r="14" spans="1:28" x14ac:dyDescent="0.25">
      <c r="A14" s="3">
        <f t="shared" si="3"/>
        <v>8</v>
      </c>
      <c r="B14" s="6">
        <v>1800</v>
      </c>
      <c r="C14" s="4">
        <v>2100</v>
      </c>
      <c r="D14" s="4">
        <f t="shared" si="0"/>
        <v>25</v>
      </c>
      <c r="E14" s="4">
        <f t="shared" si="1"/>
        <v>500</v>
      </c>
      <c r="F14" s="4">
        <f t="shared" si="2"/>
        <v>0.75</v>
      </c>
      <c r="G14" s="4">
        <f t="shared" si="2"/>
        <v>0.95</v>
      </c>
      <c r="H14" s="4">
        <f t="shared" si="4"/>
        <v>1800</v>
      </c>
      <c r="I14" s="8">
        <v>415.79536148277737</v>
      </c>
      <c r="J14" s="3">
        <v>1.1443185300952545</v>
      </c>
      <c r="K14" s="9">
        <v>13.217224595502781</v>
      </c>
      <c r="L14" s="4">
        <v>499.45084954021502</v>
      </c>
      <c r="M14" s="3"/>
      <c r="N14" s="3"/>
      <c r="O14" s="3"/>
      <c r="P14" s="3"/>
      <c r="Q14" s="3"/>
      <c r="R14" s="3"/>
      <c r="S14" s="3"/>
      <c r="T14" s="3"/>
      <c r="U14" s="3"/>
    </row>
    <row r="15" spans="1:28" x14ac:dyDescent="0.25">
      <c r="A15" s="3">
        <f t="shared" si="3"/>
        <v>9</v>
      </c>
      <c r="B15" s="6">
        <v>1650</v>
      </c>
      <c r="C15" s="4">
        <v>2100</v>
      </c>
      <c r="D15" s="4">
        <f t="shared" si="0"/>
        <v>25</v>
      </c>
      <c r="E15" s="4">
        <f t="shared" si="1"/>
        <v>500</v>
      </c>
      <c r="F15" s="4">
        <f t="shared" si="2"/>
        <v>0.75</v>
      </c>
      <c r="G15" s="4">
        <f t="shared" si="2"/>
        <v>0.95</v>
      </c>
      <c r="H15" s="4">
        <f t="shared" si="4"/>
        <v>1650</v>
      </c>
      <c r="I15" s="8">
        <v>374.98638636430343</v>
      </c>
      <c r="J15" s="3">
        <v>1.1270020258072808</v>
      </c>
      <c r="K15" s="9">
        <v>14.92890035285984</v>
      </c>
      <c r="L15" s="4">
        <v>499.45084954021502</v>
      </c>
      <c r="M15" s="3"/>
      <c r="N15" s="3"/>
      <c r="O15" s="3"/>
      <c r="P15" s="3"/>
      <c r="Q15" s="3"/>
      <c r="R15" s="3"/>
      <c r="S15" s="3"/>
      <c r="T15" s="3"/>
      <c r="U15" s="3"/>
    </row>
    <row r="16" spans="1:28" x14ac:dyDescent="0.25">
      <c r="A16" s="3">
        <f t="shared" si="3"/>
        <v>10</v>
      </c>
      <c r="B16" s="6">
        <v>1500</v>
      </c>
      <c r="C16" s="4">
        <v>2100</v>
      </c>
      <c r="D16" s="4">
        <f t="shared" si="0"/>
        <v>25</v>
      </c>
      <c r="E16" s="4">
        <f t="shared" si="1"/>
        <v>500</v>
      </c>
      <c r="F16" s="4">
        <f t="shared" si="2"/>
        <v>0.75</v>
      </c>
      <c r="G16" s="4">
        <f t="shared" si="2"/>
        <v>0.95</v>
      </c>
      <c r="H16" s="4">
        <f t="shared" si="4"/>
        <v>1500</v>
      </c>
      <c r="I16" s="8">
        <v>334.91971132303354</v>
      </c>
      <c r="J16" s="3">
        <v>1.1103166096941415</v>
      </c>
      <c r="K16" s="9">
        <v>16.954232607194278</v>
      </c>
      <c r="L16" s="4">
        <v>499.45084954021502</v>
      </c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>
        <f t="shared" si="3"/>
        <v>11</v>
      </c>
      <c r="B17" s="6">
        <v>1350</v>
      </c>
      <c r="C17" s="4">
        <v>2100</v>
      </c>
      <c r="D17" s="4">
        <f t="shared" si="0"/>
        <v>25</v>
      </c>
      <c r="E17" s="4">
        <f t="shared" si="1"/>
        <v>500</v>
      </c>
      <c r="F17" s="4">
        <f t="shared" si="2"/>
        <v>0.75</v>
      </c>
      <c r="G17" s="4">
        <f t="shared" si="2"/>
        <v>0.95</v>
      </c>
      <c r="H17" s="4">
        <f t="shared" si="4"/>
        <v>1350</v>
      </c>
      <c r="I17" s="8">
        <v>295.65297378558824</v>
      </c>
      <c r="J17" s="3">
        <v>1.094292894498456</v>
      </c>
      <c r="K17" s="9">
        <v>19.366514205369427</v>
      </c>
      <c r="L17" s="4">
        <v>499.45084954021502</v>
      </c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>
        <f t="shared" si="3"/>
        <v>12</v>
      </c>
      <c r="B18" s="6">
        <v>1200</v>
      </c>
      <c r="C18" s="4">
        <v>2100</v>
      </c>
      <c r="D18" s="4">
        <f t="shared" si="0"/>
        <v>25</v>
      </c>
      <c r="E18" s="4">
        <f t="shared" si="1"/>
        <v>500</v>
      </c>
      <c r="F18" s="4">
        <f t="shared" si="2"/>
        <v>0.75</v>
      </c>
      <c r="G18" s="4">
        <f t="shared" si="2"/>
        <v>0.95</v>
      </c>
      <c r="H18" s="4">
        <f t="shared" si="4"/>
        <v>1200</v>
      </c>
      <c r="I18" s="8">
        <v>257.25503202974471</v>
      </c>
      <c r="J18" s="3">
        <v>1.0789660734829414</v>
      </c>
      <c r="K18" s="9">
        <v>22.260143620982898</v>
      </c>
      <c r="L18" s="4">
        <v>499.45084954021502</v>
      </c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>
        <f t="shared" si="3"/>
        <v>13</v>
      </c>
      <c r="B19" s="6">
        <v>1050</v>
      </c>
      <c r="C19" s="4">
        <v>2100</v>
      </c>
      <c r="D19" s="4">
        <f t="shared" si="0"/>
        <v>25</v>
      </c>
      <c r="E19" s="4">
        <f t="shared" si="1"/>
        <v>500</v>
      </c>
      <c r="F19" s="4">
        <f t="shared" si="2"/>
        <v>0.75</v>
      </c>
      <c r="G19" s="4">
        <f t="shared" si="2"/>
        <v>0.95</v>
      </c>
      <c r="H19" s="4">
        <f t="shared" si="4"/>
        <v>1050</v>
      </c>
      <c r="I19" s="8">
        <v>219.80979062490906</v>
      </c>
      <c r="J19" s="3">
        <v>1.0643771887293465</v>
      </c>
      <c r="K19" s="9">
        <v>25.757383732575509</v>
      </c>
      <c r="L19" s="4">
        <v>499.45084954021502</v>
      </c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>
        <f t="shared" si="3"/>
        <v>14</v>
      </c>
      <c r="B20" s="6">
        <v>900</v>
      </c>
      <c r="C20" s="4">
        <v>2100</v>
      </c>
      <c r="D20" s="4">
        <f t="shared" si="0"/>
        <v>25</v>
      </c>
      <c r="E20" s="4">
        <f t="shared" si="1"/>
        <v>500</v>
      </c>
      <c r="F20" s="4">
        <f t="shared" si="2"/>
        <v>0.75</v>
      </c>
      <c r="G20" s="4">
        <f t="shared" si="2"/>
        <v>0.95</v>
      </c>
      <c r="H20" s="4">
        <f t="shared" si="4"/>
        <v>900</v>
      </c>
      <c r="I20" s="8">
        <v>183.42204975958691</v>
      </c>
      <c r="J20" s="3">
        <v>1.0505749655001118</v>
      </c>
      <c r="K20" s="9">
        <v>30.016782789708966</v>
      </c>
      <c r="L20" s="4">
        <v>499.45084954021502</v>
      </c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>
        <f t="shared" si="3"/>
        <v>15</v>
      </c>
      <c r="B21" s="6">
        <v>750</v>
      </c>
      <c r="C21" s="4">
        <v>2100</v>
      </c>
      <c r="D21" s="4">
        <f t="shared" si="0"/>
        <v>25</v>
      </c>
      <c r="E21" s="4">
        <f t="shared" si="1"/>
        <v>500</v>
      </c>
      <c r="F21" s="4">
        <f t="shared" si="2"/>
        <v>0.75</v>
      </c>
      <c r="G21" s="4">
        <f t="shared" si="2"/>
        <v>0.95</v>
      </c>
      <c r="H21" s="4">
        <f t="shared" si="4"/>
        <v>750</v>
      </c>
      <c r="I21" s="8">
        <v>148.22695804677181</v>
      </c>
      <c r="J21" s="3">
        <v>1.0376186011478994</v>
      </c>
      <c r="K21" s="9">
        <v>35.242461641780395</v>
      </c>
      <c r="L21" s="4">
        <v>499.45084954021502</v>
      </c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>
        <f t="shared" si="3"/>
        <v>16</v>
      </c>
      <c r="B22" s="6">
        <v>600</v>
      </c>
      <c r="C22" s="4">
        <v>2100</v>
      </c>
      <c r="D22" s="4">
        <f t="shared" si="0"/>
        <v>25</v>
      </c>
      <c r="E22" s="4">
        <f t="shared" si="1"/>
        <v>500</v>
      </c>
      <c r="F22" s="4">
        <f t="shared" si="2"/>
        <v>0.75</v>
      </c>
      <c r="G22" s="4">
        <f t="shared" si="2"/>
        <v>0.95</v>
      </c>
      <c r="H22" s="4">
        <f t="shared" si="4"/>
        <v>600</v>
      </c>
      <c r="I22" s="8">
        <v>114.4064402044267</v>
      </c>
      <c r="J22" s="3">
        <v>1.0255823042949566</v>
      </c>
      <c r="K22" s="9">
        <v>41.690869560665455</v>
      </c>
      <c r="L22" s="4">
        <v>499.45084954021502</v>
      </c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>
        <f t="shared" si="3"/>
        <v>17</v>
      </c>
      <c r="B23" s="6">
        <v>450</v>
      </c>
      <c r="C23" s="4">
        <v>2100</v>
      </c>
      <c r="D23" s="4">
        <f t="shared" si="0"/>
        <v>25</v>
      </c>
      <c r="E23" s="4">
        <f t="shared" si="1"/>
        <v>500</v>
      </c>
      <c r="F23" s="4">
        <f t="shared" ref="F23:G25" si="5">IF(F22&lt;&gt;"",F22,"")</f>
        <v>0.75</v>
      </c>
      <c r="G23" s="4">
        <f t="shared" si="5"/>
        <v>0.95</v>
      </c>
      <c r="H23" s="4">
        <f t="shared" si="4"/>
        <v>450</v>
      </c>
      <c r="I23" s="8">
        <v>82.220757725076751</v>
      </c>
      <c r="J23" s="3">
        <v>1.0145634513485371</v>
      </c>
      <c r="K23" s="9">
        <v>49.664085939178364</v>
      </c>
      <c r="L23" s="4">
        <v>499.45084954021502</v>
      </c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>
        <f t="shared" si="3"/>
        <v>18</v>
      </c>
      <c r="B24" s="6">
        <v>300</v>
      </c>
      <c r="C24" s="4">
        <v>2100</v>
      </c>
      <c r="D24" s="4">
        <f t="shared" si="0"/>
        <v>25</v>
      </c>
      <c r="E24" s="4">
        <f t="shared" si="1"/>
        <v>500</v>
      </c>
      <c r="F24" s="4">
        <f t="shared" si="5"/>
        <v>0.75</v>
      </c>
      <c r="G24" s="4">
        <f t="shared" si="5"/>
        <v>0.95</v>
      </c>
      <c r="H24" s="4">
        <f t="shared" si="4"/>
        <v>300</v>
      </c>
      <c r="I24" s="8">
        <v>52.078902162565385</v>
      </c>
      <c r="J24" s="3">
        <v>1.0046997274984406</v>
      </c>
      <c r="K24" s="9">
        <v>59.455994059561242</v>
      </c>
      <c r="L24" s="4">
        <v>499.45084954021502</v>
      </c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>
        <f t="shared" si="3"/>
        <v>19</v>
      </c>
      <c r="B25" s="7">
        <v>150</v>
      </c>
      <c r="C25" s="4">
        <v>2100</v>
      </c>
      <c r="D25" s="4">
        <f t="shared" si="0"/>
        <v>25</v>
      </c>
      <c r="E25" s="4">
        <f t="shared" si="1"/>
        <v>500</v>
      </c>
      <c r="F25" s="4">
        <f t="shared" si="5"/>
        <v>0.75</v>
      </c>
      <c r="G25" s="4">
        <f t="shared" si="5"/>
        <v>0.95</v>
      </c>
      <c r="H25" s="4">
        <f t="shared" si="4"/>
        <v>150</v>
      </c>
      <c r="I25" s="13">
        <v>24.741041549691047</v>
      </c>
      <c r="J25" s="14">
        <v>0.99621688495259331</v>
      </c>
      <c r="K25" s="15">
        <v>71.135144081987804</v>
      </c>
      <c r="L25" s="4">
        <v>499.45084954021502</v>
      </c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18"/>
      <c r="C26" s="4"/>
      <c r="D26" s="4"/>
      <c r="E26" s="4"/>
      <c r="F26" s="4"/>
      <c r="G26" s="4"/>
      <c r="H26" s="4"/>
    </row>
  </sheetData>
  <mergeCells count="3">
    <mergeCell ref="A4:A5"/>
    <mergeCell ref="I2:K2"/>
    <mergeCell ref="B3:G4"/>
  </mergeCells>
  <dataValidations count="2">
    <dataValidation type="list" showInputMessage="1" showErrorMessage="1" errorTitle="Entrada no válida." error="Seleccione una correlación de la lista." promptTitle="Correlaciones." prompt="Seleccione una correlación de la lista." sqref="I4:J4" xr:uid="{5C5263F7-4217-4D31-8953-5CC05EE61E50}">
      <formula1>$AA$5:$AA$6</formula1>
    </dataValidation>
    <dataValidation type="list" showInputMessage="1" showErrorMessage="1" errorTitle="Entrada no válida." error="Seleccione una correlación de la lista." promptTitle="Correlación." prompt="Seleccione una correlaciónde la lista." sqref="K4" xr:uid="{A21A3519-D24F-4FEB-BAB8-A1904E2D7A77}">
      <formula1>$AB$5:$AB$6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6987E-37ED-44D3-9EFC-9C45E34FE5FE}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Summary</vt:lpstr>
      <vt:lpstr>Results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Dannes Aguas Ortiz</cp:lastModifiedBy>
  <dcterms:created xsi:type="dcterms:W3CDTF">2015-01-25T11:31:25Z</dcterms:created>
  <dcterms:modified xsi:type="dcterms:W3CDTF">2022-11-29T22:24:32Z</dcterms:modified>
</cp:coreProperties>
</file>