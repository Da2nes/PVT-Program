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726" codeName="{AE6600E7-7A62-396C-DE95-9942FA9DD81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fredd\PycharmProjects\PVT-Program\PVT\Controler\"/>
    </mc:Choice>
  </mc:AlternateContent>
  <xr:revisionPtr revIDLastSave="0" documentId="13_ncr:1_{E99842F6-8AE7-48CC-B858-0CE262AF48DB}" xr6:coauthVersionLast="47" xr6:coauthVersionMax="47" xr10:uidLastSave="{00000000-0000-0000-0000-000000000000}"/>
  <bookViews>
    <workbookView xWindow="13644" yWindow="2904" windowWidth="17280" windowHeight="9072" tabRatio="500" xr2:uid="{00000000-000D-0000-FFFF-FFFF00000000}"/>
  </bookViews>
  <sheets>
    <sheet name="Summary" sheetId="1" r:id="rId1"/>
    <sheet name="Results" sheetId="4" r:id="rId2"/>
    <sheet name="_xlwings.conf" sheetId="2" r:id="rId3"/>
  </sheet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5" i="1" l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7" i="1"/>
  <c r="H6" i="1"/>
  <c r="G7" i="1"/>
  <c r="G8" i="1" s="1"/>
  <c r="G9" i="1" s="1"/>
  <c r="G10" i="1" s="1"/>
  <c r="G11" i="1" s="1"/>
  <c r="G12" i="1" s="1"/>
  <c r="G13" i="1" s="1"/>
  <c r="G14" i="1" s="1"/>
  <c r="G15" i="1" s="1"/>
  <c r="G16" i="1" s="1"/>
  <c r="G17" i="1" s="1"/>
  <c r="G18" i="1" s="1"/>
  <c r="G19" i="1" s="1"/>
  <c r="G20" i="1" s="1"/>
  <c r="G21" i="1" s="1"/>
  <c r="G22" i="1" s="1"/>
  <c r="G23" i="1" s="1"/>
  <c r="G24" i="1" s="1"/>
  <c r="G25" i="1" s="1"/>
  <c r="F7" i="1"/>
  <c r="F8" i="1" s="1"/>
  <c r="F9" i="1" s="1"/>
  <c r="F10" i="1" s="1"/>
  <c r="F11" i="1" s="1"/>
  <c r="F12" i="1" s="1"/>
  <c r="F13" i="1" s="1"/>
  <c r="F14" i="1" s="1"/>
  <c r="F15" i="1" s="1"/>
  <c r="F16" i="1" s="1"/>
  <c r="F17" i="1" s="1"/>
  <c r="F18" i="1" s="1"/>
  <c r="F19" i="1" s="1"/>
  <c r="F20" i="1" s="1"/>
  <c r="F21" i="1" s="1"/>
  <c r="F22" i="1" s="1"/>
  <c r="F23" i="1" s="1"/>
  <c r="F24" i="1" s="1"/>
  <c r="F25" i="1" s="1"/>
  <c r="D7" i="1"/>
  <c r="D8" i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E7" i="1"/>
  <c r="E8" i="1" s="1"/>
  <c r="E9" i="1" s="1"/>
  <c r="E10" i="1" s="1"/>
  <c r="E11" i="1" s="1"/>
  <c r="E12" i="1" s="1"/>
  <c r="E13" i="1" s="1"/>
  <c r="E14" i="1" s="1"/>
  <c r="E15" i="1" s="1"/>
  <c r="E16" i="1" s="1"/>
  <c r="E17" i="1" s="1"/>
  <c r="E18" i="1" s="1"/>
  <c r="E19" i="1" s="1"/>
  <c r="E20" i="1" s="1"/>
  <c r="E21" i="1" s="1"/>
  <c r="E22" i="1" s="1"/>
  <c r="E23" i="1" s="1"/>
  <c r="E24" i="1" s="1"/>
  <c r="E25" i="1" s="1"/>
  <c r="A6" i="1"/>
  <c r="A7" i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</calcChain>
</file>

<file path=xl/sharedStrings.xml><?xml version="1.0" encoding="utf-8"?>
<sst xmlns="http://schemas.openxmlformats.org/spreadsheetml/2006/main" count="37" uniqueCount="31">
  <si>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</si>
  <si>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</si>
  <si>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</si>
  <si>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</si>
  <si>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</si>
  <si>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</si>
  <si>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</si>
  <si>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</si>
  <si>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</si>
  <si>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</si>
  <si>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</si>
  <si>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</si>
  <si>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</si>
  <si>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</si>
  <si>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</si>
  <si>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Temperatura (R)</t>
  </si>
  <si>
    <t>°API</t>
  </si>
  <si>
    <t>ϒgas</t>
  </si>
  <si>
    <t>ϒoil</t>
  </si>
  <si>
    <t>Rs</t>
  </si>
  <si>
    <t>Bo</t>
  </si>
  <si>
    <t>Uo</t>
  </si>
  <si>
    <t>Correlaciones</t>
  </si>
  <si>
    <t>Standing</t>
  </si>
  <si>
    <t>PROPIEDADES Y CORRELACIONES</t>
  </si>
  <si>
    <t>DATOS</t>
  </si>
  <si>
    <t>n°</t>
  </si>
  <si>
    <t>Presion_test (psi)</t>
  </si>
  <si>
    <t>Pb (psi)</t>
  </si>
  <si>
    <t>Beal</t>
  </si>
  <si>
    <t>Rsb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</si>
</sst>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Narin bold"/>
    </font>
    <font>
      <b/>
      <sz val="12"/>
      <color theme="1"/>
      <name val="Narin Bold"/>
    </font>
    <font>
      <sz val="12"/>
      <color rgb="FF92D05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99FF66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0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2" borderId="0" xfId="0" applyFill="1"/>
    <xf numFmtId="0" fontId="2" fillId="2" borderId="0" xfId="0" applyFont="1" applyFill="1"/>
    <xf numFmtId="0" fontId="0" fillId="2" borderId="10" xfId="0" applyFill="1" applyBorder="1"/>
    <xf numFmtId="0" fontId="0" fillId="2" borderId="11" xfId="0" applyFill="1" applyBorder="1"/>
    <xf numFmtId="0" fontId="0" fillId="2" borderId="12" xfId="0" applyFill="1" applyBorder="1"/>
    <xf numFmtId="0" fontId="0" fillId="2" borderId="13" xfId="0" applyFill="1" applyBorder="1"/>
    <xf numFmtId="0" fontId="0" fillId="2" borderId="14" xfId="0" applyFill="1" applyBorder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3" fillId="2" borderId="0" xfId="0" applyFont="1" applyFill="1"/>
    <xf numFmtId="0" fontId="2" fillId="2" borderId="0" xfId="0" applyFont="1" applyFill="1" applyAlignment="1">
      <alignment horizontal="center"/>
    </xf>
    <xf numFmtId="0" fontId="4" fillId="4" borderId="7" xfId="0" applyFont="1" applyFill="1" applyBorder="1" applyAlignment="1">
      <alignment vertical="center"/>
    </xf>
    <xf numFmtId="0" fontId="4" fillId="4" borderId="8" xfId="0" applyFont="1" applyFill="1" applyBorder="1" applyAlignment="1">
      <alignment vertical="center"/>
    </xf>
    <xf numFmtId="0" fontId="4" fillId="4" borderId="9" xfId="0" applyFont="1" applyFill="1" applyBorder="1" applyAlignment="1">
      <alignment vertical="center"/>
    </xf>
    <xf numFmtId="0" fontId="5" fillId="5" borderId="13" xfId="0" applyFont="1" applyFill="1" applyBorder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5" fillId="5" borderId="14" xfId="0" applyFont="1" applyFill="1" applyBorder="1" applyAlignment="1">
      <alignment horizontal="center" vertical="center"/>
    </xf>
    <xf numFmtId="0" fontId="4" fillId="6" borderId="13" xfId="0" applyFont="1" applyFill="1" applyBorder="1" applyAlignment="1">
      <alignment horizontal="center"/>
    </xf>
    <xf numFmtId="0" fontId="4" fillId="6" borderId="0" xfId="0" applyFont="1" applyFill="1" applyAlignment="1">
      <alignment horizontal="center"/>
    </xf>
    <xf numFmtId="0" fontId="4" fillId="6" borderId="14" xfId="0" applyFont="1" applyFill="1" applyBorder="1" applyAlignment="1">
      <alignment horizontal="center"/>
    </xf>
    <xf numFmtId="0" fontId="4" fillId="6" borderId="4" xfId="0" applyFont="1" applyFill="1" applyBorder="1" applyAlignment="1">
      <alignment horizontal="center" vertical="center"/>
    </xf>
    <xf numFmtId="0" fontId="4" fillId="6" borderId="5" xfId="0" applyFont="1" applyFill="1" applyBorder="1" applyAlignment="1">
      <alignment horizontal="center" vertical="center"/>
    </xf>
    <xf numFmtId="0" fontId="4" fillId="6" borderId="6" xfId="0" applyFont="1" applyFill="1" applyBorder="1" applyAlignment="1">
      <alignment horizontal="center" vertical="center"/>
    </xf>
    <xf numFmtId="0" fontId="0" fillId="2" borderId="0" xfId="0" applyFill="1" applyAlignment="1">
      <alignment horizontal="right"/>
    </xf>
    <xf numFmtId="0" fontId="3" fillId="5" borderId="1" xfId="0" applyFont="1" applyFill="1" applyBorder="1" applyAlignment="1">
      <alignment horizontal="center"/>
    </xf>
    <xf numFmtId="0" fontId="3" fillId="5" borderId="2" xfId="0" applyFont="1" applyFill="1" applyBorder="1" applyAlignment="1">
      <alignment horizontal="center"/>
    </xf>
    <xf numFmtId="0" fontId="3" fillId="5" borderId="3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Medium4"/>
  <colors>
    <mruColors>
      <color rgb="FF99FF66"/>
      <color rgb="FF66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213360</xdr:colOff>
          <xdr:row>2</xdr:row>
          <xdr:rowOff>144780</xdr:rowOff>
        </xdr:from>
        <xdr:to>
          <xdr:col>13</xdr:col>
          <xdr:colOff>373380</xdr:colOff>
          <xdr:row>6</xdr:row>
          <xdr:rowOff>91440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B26"/>
  <sheetViews>
    <sheetView tabSelected="1" topLeftCell="B1" zoomScale="70" zoomScaleNormal="70" workbookViewId="0">
      <selection activeCell="G9" sqref="G9"/>
    </sheetView>
  </sheetViews>
  <sheetFormatPr defaultColWidth="11" defaultRowHeight="15.6"/>
  <cols>
    <col min="2" max="3" width="16.5" customWidth="1"/>
    <col min="4" max="4" width="10.59765625" customWidth="1"/>
    <col min="5" max="5" width="15.8984375" customWidth="1"/>
    <col min="9" max="9" width="13.3984375" customWidth="1"/>
    <col min="10" max="10" width="18.19921875" customWidth="1"/>
    <col min="11" max="11" width="18.8984375" customWidth="1"/>
    <col min="27" max="27" width="12" customWidth="1"/>
  </cols>
  <sheetData>
    <row r="1" spans="1:28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</row>
    <row r="2" spans="1:28">
      <c r="A2" s="3"/>
      <c r="B2" s="3"/>
      <c r="C2" s="3"/>
      <c r="D2" s="3"/>
      <c r="E2" s="3"/>
      <c r="F2" s="3"/>
      <c r="G2" s="3"/>
      <c r="H2" s="3"/>
      <c r="I2" s="31" t="s">
        <v>24</v>
      </c>
      <c r="J2" s="32"/>
      <c r="K2" s="33"/>
      <c r="L2" s="3"/>
      <c r="M2" s="3"/>
      <c r="N2" s="3"/>
      <c r="O2" s="3"/>
      <c r="P2" s="3"/>
      <c r="Q2" s="3"/>
      <c r="R2" s="3"/>
      <c r="S2" s="3"/>
      <c r="T2" s="3"/>
      <c r="U2" s="3"/>
    </row>
    <row r="3" spans="1:28">
      <c r="A3" s="3"/>
      <c r="B3" s="34" t="s">
        <v>25</v>
      </c>
      <c r="C3" s="35"/>
      <c r="D3" s="35"/>
      <c r="E3" s="35"/>
      <c r="F3" s="35"/>
      <c r="G3" s="36"/>
      <c r="H3" s="3"/>
      <c r="I3" s="21" t="s">
        <v>19</v>
      </c>
      <c r="J3" s="22" t="s">
        <v>20</v>
      </c>
      <c r="K3" s="23" t="s">
        <v>21</v>
      </c>
      <c r="L3" s="3"/>
      <c r="M3" s="3"/>
      <c r="N3" s="3"/>
      <c r="O3" s="3"/>
      <c r="P3" s="3"/>
      <c r="Q3" s="3"/>
      <c r="R3" s="3"/>
      <c r="S3" s="3"/>
      <c r="T3" s="3"/>
      <c r="U3" s="3"/>
    </row>
    <row r="4" spans="1:28">
      <c r="A4" s="30" t="s">
        <v>26</v>
      </c>
      <c r="B4" s="37"/>
      <c r="C4" s="38"/>
      <c r="D4" s="38"/>
      <c r="E4" s="38"/>
      <c r="F4" s="38"/>
      <c r="G4" s="39"/>
      <c r="H4" s="3"/>
      <c r="I4" s="24" t="s">
        <v>23</v>
      </c>
      <c r="J4" s="25" t="s">
        <v>23</v>
      </c>
      <c r="K4" s="26" t="s">
        <v>29</v>
      </c>
      <c r="L4" s="16"/>
      <c r="M4" s="3"/>
      <c r="N4" s="3"/>
      <c r="O4" s="3"/>
      <c r="P4" s="3"/>
      <c r="Q4" s="3"/>
      <c r="R4" s="3"/>
      <c r="S4" s="3"/>
      <c r="T4" s="3"/>
      <c r="U4" s="3"/>
      <c r="AA4" t="s">
        <v>22</v>
      </c>
    </row>
    <row r="5" spans="1:28">
      <c r="A5" s="30"/>
      <c r="B5" s="18" t="s">
        <v>27</v>
      </c>
      <c r="C5" s="19" t="s">
        <v>28</v>
      </c>
      <c r="D5" s="19" t="s">
        <v>16</v>
      </c>
      <c r="E5" s="19" t="s">
        <v>15</v>
      </c>
      <c r="F5" s="19" t="s">
        <v>17</v>
      </c>
      <c r="G5" s="20" t="s">
        <v>18</v>
      </c>
      <c r="H5" s="4" t="str">
        <f>IF(B5&lt;&gt;"",B5,"")</f>
        <v>Presion_test (psi)</v>
      </c>
      <c r="I5" s="27" t="s">
        <v>19</v>
      </c>
      <c r="J5" s="28" t="s">
        <v>20</v>
      </c>
      <c r="K5" s="29" t="s">
        <v>21</v>
      </c>
      <c r="L5" s="17" t="s">
        <v>30</v>
      </c>
      <c r="M5" s="3"/>
      <c r="N5" s="3"/>
      <c r="O5" s="3"/>
      <c r="P5" s="3"/>
      <c r="Q5" s="3"/>
      <c r="R5" s="3"/>
      <c r="S5" s="3"/>
      <c r="T5" s="3"/>
      <c r="U5" s="3"/>
      <c r="AA5" t="s">
        <v>23</v>
      </c>
      <c r="AB5" t="s">
        <v>29</v>
      </c>
    </row>
    <row r="6" spans="1:28">
      <c r="A6" s="3">
        <f>IF(B6&lt;&gt;"",0,"")</f>
        <v>0</v>
      </c>
      <c r="B6" s="5">
        <v>3000</v>
      </c>
      <c r="C6" s="3">
        <v>2250</v>
      </c>
      <c r="D6" s="3">
        <v>43</v>
      </c>
      <c r="E6" s="3">
        <v>500</v>
      </c>
      <c r="F6" s="3">
        <v>0.79</v>
      </c>
      <c r="G6" s="3">
        <v>0.9</v>
      </c>
      <c r="H6" s="4">
        <f>IF(B6&lt;&gt;"",B6,"")</f>
        <v>3000</v>
      </c>
      <c r="I6" s="10">
        <v>1066.1540003597866</v>
      </c>
      <c r="J6" s="11">
        <v>1.4374045572814769</v>
      </c>
      <c r="K6" s="12">
        <v>0.83804609162507582</v>
      </c>
      <c r="L6" s="4">
        <v>1066.1540003597866</v>
      </c>
      <c r="M6" s="3"/>
      <c r="N6" s="3"/>
      <c r="O6" s="3"/>
      <c r="P6" s="3"/>
      <c r="Q6" s="3"/>
      <c r="R6" s="3"/>
      <c r="S6" s="3"/>
      <c r="T6" s="3"/>
      <c r="U6" s="3"/>
    </row>
    <row r="7" spans="1:28">
      <c r="A7" s="3">
        <f>IF(B7&lt;&gt;"",A6+1,"")</f>
        <v>1</v>
      </c>
      <c r="B7" s="6">
        <v>2850</v>
      </c>
      <c r="C7" s="4">
        <v>2100</v>
      </c>
      <c r="D7" s="4">
        <f t="shared" ref="D7:D25" si="0">IF(D6&lt;&gt;"",D6,"")</f>
        <v>43</v>
      </c>
      <c r="E7" s="4">
        <f t="shared" ref="E7:E25" si="1">IF(E6&lt;&gt;"",E6,"")</f>
        <v>500</v>
      </c>
      <c r="F7" s="4">
        <f t="shared" ref="F7:G22" si="2">IF(F6&lt;&gt;"",F6,"")</f>
        <v>0.79</v>
      </c>
      <c r="G7" s="4">
        <f>IF(G6&lt;&gt;"",G6,"")</f>
        <v>0.9</v>
      </c>
      <c r="H7" s="4">
        <f>IF(B7&lt;&gt;"",B7,"")</f>
        <v>2850</v>
      </c>
      <c r="I7" s="8">
        <v>982.06127037737724</v>
      </c>
      <c r="J7" s="3">
        <v>1.4371068816521351</v>
      </c>
      <c r="K7" s="9">
        <v>0.90790401693110623</v>
      </c>
      <c r="L7" s="4">
        <v>1066.1540003597866</v>
      </c>
      <c r="M7" s="3"/>
      <c r="N7" s="3"/>
      <c r="O7" s="3"/>
      <c r="P7" s="3"/>
      <c r="Q7" s="3"/>
      <c r="R7" s="3"/>
      <c r="S7" s="3"/>
      <c r="T7" s="3"/>
      <c r="U7" s="3"/>
    </row>
    <row r="8" spans="1:28">
      <c r="A8" s="3">
        <f t="shared" ref="A8:A25" si="3">IF(B8&lt;&gt;"",A7+1,"")</f>
        <v>2</v>
      </c>
      <c r="B8" s="6">
        <v>2700</v>
      </c>
      <c r="C8" s="4">
        <v>2100</v>
      </c>
      <c r="D8" s="4">
        <f t="shared" si="0"/>
        <v>43</v>
      </c>
      <c r="E8" s="4">
        <f t="shared" si="1"/>
        <v>500</v>
      </c>
      <c r="F8" s="4">
        <f t="shared" si="2"/>
        <v>0.79</v>
      </c>
      <c r="G8" s="4">
        <f t="shared" si="2"/>
        <v>0.9</v>
      </c>
      <c r="H8" s="4">
        <f t="shared" ref="H8:H25" si="4">IF(B8&lt;&gt;"",B8,"")</f>
        <v>2700</v>
      </c>
      <c r="I8" s="8">
        <v>982.06127037737724</v>
      </c>
      <c r="J8" s="3">
        <v>1.4387127103331021</v>
      </c>
      <c r="K8" s="9">
        <v>0.89270276892443046</v>
      </c>
      <c r="L8" s="4">
        <v>1066.1540003597866</v>
      </c>
      <c r="M8" s="3"/>
      <c r="N8" s="3"/>
      <c r="O8" s="3"/>
      <c r="P8" s="3"/>
      <c r="Q8" s="3"/>
      <c r="R8" s="3"/>
      <c r="S8" s="3"/>
      <c r="T8" s="3"/>
      <c r="U8" s="3"/>
    </row>
    <row r="9" spans="1:28">
      <c r="A9" s="3">
        <f t="shared" si="3"/>
        <v>3</v>
      </c>
      <c r="B9" s="6">
        <v>2550</v>
      </c>
      <c r="C9" s="4">
        <v>2100</v>
      </c>
      <c r="D9" s="4">
        <f t="shared" si="0"/>
        <v>43</v>
      </c>
      <c r="E9" s="4">
        <f t="shared" si="1"/>
        <v>500</v>
      </c>
      <c r="F9" s="4">
        <f t="shared" si="2"/>
        <v>0.79</v>
      </c>
      <c r="G9" s="4">
        <f t="shared" si="2"/>
        <v>0.9</v>
      </c>
      <c r="H9" s="4">
        <f t="shared" si="4"/>
        <v>2550</v>
      </c>
      <c r="I9" s="8">
        <v>982.06127037737724</v>
      </c>
      <c r="J9" s="3">
        <v>1.4403740235147908</v>
      </c>
      <c r="K9" s="9">
        <v>0.8782896206113846</v>
      </c>
      <c r="L9" s="4">
        <v>1066.1540003597866</v>
      </c>
      <c r="M9" s="3"/>
      <c r="N9" s="3"/>
      <c r="O9" s="3"/>
      <c r="P9" s="3"/>
      <c r="Q9" s="3"/>
      <c r="R9" s="3"/>
      <c r="S9" s="3"/>
      <c r="T9" s="3"/>
      <c r="U9" s="3"/>
    </row>
    <row r="10" spans="1:28">
      <c r="A10" s="3">
        <f t="shared" si="3"/>
        <v>4</v>
      </c>
      <c r="B10" s="6">
        <v>2400</v>
      </c>
      <c r="C10" s="4">
        <v>2100</v>
      </c>
      <c r="D10" s="4">
        <f t="shared" si="0"/>
        <v>43</v>
      </c>
      <c r="E10" s="4">
        <f t="shared" si="1"/>
        <v>500</v>
      </c>
      <c r="F10" s="4">
        <f t="shared" si="2"/>
        <v>0.79</v>
      </c>
      <c r="G10" s="4">
        <f t="shared" si="2"/>
        <v>0.9</v>
      </c>
      <c r="H10" s="4">
        <f t="shared" si="4"/>
        <v>2400</v>
      </c>
      <c r="I10" s="8">
        <v>982.06127037737724</v>
      </c>
      <c r="J10" s="3">
        <v>1.4420961330424136</v>
      </c>
      <c r="K10" s="9">
        <v>0.86470031892322174</v>
      </c>
      <c r="L10" s="4">
        <v>1066.1540003597866</v>
      </c>
      <c r="M10" s="3"/>
      <c r="N10" s="3"/>
      <c r="O10" s="3"/>
      <c r="P10" s="3"/>
      <c r="Q10" s="3"/>
      <c r="R10" s="3"/>
      <c r="S10" s="3"/>
      <c r="T10" s="3"/>
      <c r="U10" s="3"/>
    </row>
    <row r="11" spans="1:28">
      <c r="A11" s="3">
        <f t="shared" si="3"/>
        <v>5</v>
      </c>
      <c r="B11" s="6">
        <v>2250</v>
      </c>
      <c r="C11" s="4">
        <v>2100</v>
      </c>
      <c r="D11" s="4">
        <f t="shared" si="0"/>
        <v>43</v>
      </c>
      <c r="E11" s="4">
        <f t="shared" si="1"/>
        <v>500</v>
      </c>
      <c r="F11" s="4">
        <f t="shared" si="2"/>
        <v>0.79</v>
      </c>
      <c r="G11" s="4">
        <f t="shared" si="2"/>
        <v>0.9</v>
      </c>
      <c r="H11" s="4">
        <f t="shared" si="4"/>
        <v>2250</v>
      </c>
      <c r="I11" s="8">
        <v>982.06127037737724</v>
      </c>
      <c r="J11" s="3">
        <v>1.4438852301253975</v>
      </c>
      <c r="K11" s="9">
        <v>0.85197498086957402</v>
      </c>
      <c r="L11" s="4">
        <v>1066.1540003597866</v>
      </c>
      <c r="M11" s="3"/>
      <c r="N11" s="3"/>
      <c r="O11" s="3"/>
      <c r="P11" s="3"/>
      <c r="Q11" s="3"/>
      <c r="R11" s="3"/>
      <c r="S11" s="3"/>
      <c r="T11" s="3"/>
      <c r="U11" s="3"/>
    </row>
    <row r="12" spans="1:28" s="3" customFormat="1">
      <c r="A12" s="3">
        <f t="shared" si="3"/>
        <v>6</v>
      </c>
      <c r="B12" s="6">
        <v>2100</v>
      </c>
      <c r="C12" s="4">
        <v>2100</v>
      </c>
      <c r="D12" s="4">
        <f t="shared" si="0"/>
        <v>43</v>
      </c>
      <c r="E12" s="4">
        <f t="shared" si="1"/>
        <v>500</v>
      </c>
      <c r="F12" s="4">
        <f t="shared" si="2"/>
        <v>0.79</v>
      </c>
      <c r="G12" s="4">
        <f t="shared" si="2"/>
        <v>0.9</v>
      </c>
      <c r="H12" s="4">
        <f t="shared" si="4"/>
        <v>2100</v>
      </c>
      <c r="I12" s="8">
        <v>982.06127037737724</v>
      </c>
      <c r="J12" s="3">
        <v>1.4457486008054306</v>
      </c>
      <c r="K12" s="9">
        <v>0.84015910453814835</v>
      </c>
      <c r="L12" s="4">
        <v>1066.1540003597866</v>
      </c>
    </row>
    <row r="13" spans="1:28">
      <c r="A13" s="3">
        <f t="shared" si="3"/>
        <v>7</v>
      </c>
      <c r="B13" s="6">
        <v>1950</v>
      </c>
      <c r="C13" s="4">
        <v>2100</v>
      </c>
      <c r="D13" s="4">
        <f t="shared" si="0"/>
        <v>43</v>
      </c>
      <c r="E13" s="4">
        <f t="shared" si="1"/>
        <v>500</v>
      </c>
      <c r="F13" s="4">
        <f t="shared" si="2"/>
        <v>0.79</v>
      </c>
      <c r="G13" s="4">
        <f t="shared" si="2"/>
        <v>0.9</v>
      </c>
      <c r="H13" s="4">
        <f t="shared" si="4"/>
        <v>1950</v>
      </c>
      <c r="I13" s="8">
        <v>899.17610300674914</v>
      </c>
      <c r="J13" s="3">
        <v>1.3926483512661807</v>
      </c>
      <c r="K13" s="9">
        <v>0.91641837908340862</v>
      </c>
      <c r="L13" s="4">
        <v>1066.1540003597866</v>
      </c>
      <c r="M13" s="3"/>
      <c r="N13" s="3"/>
      <c r="O13" s="3"/>
      <c r="P13" s="3"/>
      <c r="Q13" s="3"/>
      <c r="R13" s="3"/>
      <c r="S13" s="3"/>
      <c r="T13" s="3"/>
      <c r="U13" s="3"/>
    </row>
    <row r="14" spans="1:28">
      <c r="A14" s="3">
        <f t="shared" si="3"/>
        <v>8</v>
      </c>
      <c r="B14" s="6">
        <v>1800</v>
      </c>
      <c r="C14" s="4">
        <v>2100</v>
      </c>
      <c r="D14" s="4">
        <f t="shared" si="0"/>
        <v>43</v>
      </c>
      <c r="E14" s="4">
        <f t="shared" si="1"/>
        <v>500</v>
      </c>
      <c r="F14" s="4">
        <f t="shared" si="2"/>
        <v>0.79</v>
      </c>
      <c r="G14" s="4">
        <f t="shared" si="2"/>
        <v>0.9</v>
      </c>
      <c r="H14" s="4">
        <f t="shared" si="4"/>
        <v>1800</v>
      </c>
      <c r="I14" s="8">
        <v>817.57098078960905</v>
      </c>
      <c r="J14" s="3">
        <v>1.3501803555453549</v>
      </c>
      <c r="K14" s="9">
        <v>1.0072970315777212</v>
      </c>
      <c r="L14" s="4">
        <v>1066.1540003597866</v>
      </c>
      <c r="M14" s="3"/>
      <c r="N14" s="3"/>
      <c r="O14" s="3"/>
      <c r="P14" s="3"/>
      <c r="Q14" s="3"/>
      <c r="R14" s="3"/>
      <c r="S14" s="3"/>
      <c r="T14" s="3"/>
      <c r="U14" s="3"/>
    </row>
    <row r="15" spans="1:28">
      <c r="A15" s="3">
        <f t="shared" si="3"/>
        <v>9</v>
      </c>
      <c r="B15" s="6">
        <v>1650</v>
      </c>
      <c r="C15" s="4">
        <v>2100</v>
      </c>
      <c r="D15" s="4">
        <f t="shared" si="0"/>
        <v>43</v>
      </c>
      <c r="E15" s="4">
        <f t="shared" si="1"/>
        <v>500</v>
      </c>
      <c r="F15" s="4">
        <f t="shared" si="2"/>
        <v>0.79</v>
      </c>
      <c r="G15" s="4">
        <f t="shared" si="2"/>
        <v>0.9</v>
      </c>
      <c r="H15" s="4">
        <f t="shared" si="4"/>
        <v>1650</v>
      </c>
      <c r="I15" s="8">
        <v>737.32902307837219</v>
      </c>
      <c r="J15" s="3">
        <v>1.3091912094323015</v>
      </c>
      <c r="K15" s="9">
        <v>1.1156300713197125</v>
      </c>
      <c r="L15" s="4">
        <v>1066.1540003597866</v>
      </c>
      <c r="M15" s="3"/>
      <c r="N15" s="3"/>
      <c r="O15" s="3"/>
      <c r="P15" s="3"/>
      <c r="Q15" s="3"/>
      <c r="R15" s="3"/>
      <c r="S15" s="3"/>
      <c r="T15" s="3"/>
      <c r="U15" s="3"/>
    </row>
    <row r="16" spans="1:28">
      <c r="A16" s="3">
        <f t="shared" si="3"/>
        <v>10</v>
      </c>
      <c r="B16" s="6">
        <v>1500</v>
      </c>
      <c r="C16" s="4">
        <v>2100</v>
      </c>
      <c r="D16" s="4">
        <f t="shared" si="0"/>
        <v>43</v>
      </c>
      <c r="E16" s="4">
        <f t="shared" si="1"/>
        <v>500</v>
      </c>
      <c r="F16" s="4">
        <f t="shared" si="2"/>
        <v>0.79</v>
      </c>
      <c r="G16" s="4">
        <f t="shared" si="2"/>
        <v>0.9</v>
      </c>
      <c r="H16" s="4">
        <f t="shared" si="4"/>
        <v>1500</v>
      </c>
      <c r="I16" s="8">
        <v>658.54663672934498</v>
      </c>
      <c r="J16" s="3">
        <v>1.2697496734267404</v>
      </c>
      <c r="K16" s="9">
        <v>1.2449662065063984</v>
      </c>
      <c r="L16" s="4">
        <v>1066.1540003597866</v>
      </c>
      <c r="M16" s="3"/>
      <c r="N16" s="3"/>
      <c r="O16" s="3"/>
      <c r="P16" s="3"/>
      <c r="Q16" s="3"/>
      <c r="R16" s="3"/>
      <c r="S16" s="3"/>
      <c r="T16" s="3"/>
      <c r="U16" s="3"/>
    </row>
    <row r="17" spans="1:21">
      <c r="A17" s="3">
        <f t="shared" si="3"/>
        <v>11</v>
      </c>
      <c r="B17" s="6">
        <v>1350</v>
      </c>
      <c r="C17" s="4">
        <v>2100</v>
      </c>
      <c r="D17" s="4">
        <f t="shared" si="0"/>
        <v>43</v>
      </c>
      <c r="E17" s="4">
        <f t="shared" si="1"/>
        <v>500</v>
      </c>
      <c r="F17" s="4">
        <f t="shared" si="2"/>
        <v>0.79</v>
      </c>
      <c r="G17" s="4">
        <f t="shared" si="2"/>
        <v>0.9</v>
      </c>
      <c r="H17" s="4">
        <f t="shared" si="4"/>
        <v>1350</v>
      </c>
      <c r="I17" s="8">
        <v>581.33715318336999</v>
      </c>
      <c r="J17" s="3">
        <v>1.2319342705249958</v>
      </c>
      <c r="K17" s="9">
        <v>1.3997659387497361</v>
      </c>
      <c r="L17" s="4">
        <v>1066.1540003597866</v>
      </c>
      <c r="M17" s="3"/>
      <c r="N17" s="3"/>
      <c r="O17" s="3"/>
      <c r="P17" s="3"/>
      <c r="Q17" s="3"/>
      <c r="R17" s="3"/>
      <c r="S17" s="3"/>
      <c r="T17" s="3"/>
      <c r="U17" s="3"/>
    </row>
    <row r="18" spans="1:21">
      <c r="A18" s="3">
        <f t="shared" si="3"/>
        <v>12</v>
      </c>
      <c r="B18" s="6">
        <v>1200</v>
      </c>
      <c r="C18" s="4">
        <v>2100</v>
      </c>
      <c r="D18" s="4">
        <f t="shared" si="0"/>
        <v>43</v>
      </c>
      <c r="E18" s="4">
        <f t="shared" si="1"/>
        <v>500</v>
      </c>
      <c r="F18" s="4">
        <f t="shared" si="2"/>
        <v>0.79</v>
      </c>
      <c r="G18" s="4">
        <f t="shared" si="2"/>
        <v>0.9</v>
      </c>
      <c r="H18" s="4">
        <f t="shared" si="4"/>
        <v>1200</v>
      </c>
      <c r="I18" s="8">
        <v>505.83596724017934</v>
      </c>
      <c r="J18" s="3">
        <v>1.1958357961240955</v>
      </c>
      <c r="K18" s="9">
        <v>1.5856691947624346</v>
      </c>
      <c r="L18" s="4">
        <v>1066.1540003597866</v>
      </c>
      <c r="M18" s="3"/>
      <c r="N18" s="3"/>
      <c r="O18" s="3"/>
      <c r="P18" s="3"/>
      <c r="Q18" s="3"/>
      <c r="R18" s="3"/>
      <c r="S18" s="3"/>
      <c r="T18" s="3"/>
      <c r="U18" s="3"/>
    </row>
    <row r="19" spans="1:21">
      <c r="A19" s="3">
        <f t="shared" si="3"/>
        <v>13</v>
      </c>
      <c r="B19" s="6">
        <v>1050</v>
      </c>
      <c r="C19" s="4">
        <v>2100</v>
      </c>
      <c r="D19" s="4">
        <f t="shared" si="0"/>
        <v>43</v>
      </c>
      <c r="E19" s="4">
        <f t="shared" si="1"/>
        <v>500</v>
      </c>
      <c r="F19" s="4">
        <f t="shared" si="2"/>
        <v>0.79</v>
      </c>
      <c r="G19" s="4">
        <f t="shared" si="2"/>
        <v>0.9</v>
      </c>
      <c r="H19" s="4">
        <f t="shared" si="4"/>
        <v>1050</v>
      </c>
      <c r="I19" s="8">
        <v>432.20805895356125</v>
      </c>
      <c r="J19" s="3">
        <v>1.1615608311743031</v>
      </c>
      <c r="K19" s="9">
        <v>1.8098639861737909</v>
      </c>
      <c r="L19" s="4">
        <v>1066.1540003597866</v>
      </c>
      <c r="M19" s="3"/>
      <c r="N19" s="3"/>
      <c r="O19" s="3"/>
      <c r="P19" s="3"/>
      <c r="Q19" s="3"/>
      <c r="R19" s="3"/>
      <c r="S19" s="3"/>
      <c r="T19" s="3"/>
      <c r="U19" s="3"/>
    </row>
    <row r="20" spans="1:21">
      <c r="A20" s="3">
        <f t="shared" si="3"/>
        <v>14</v>
      </c>
      <c r="B20" s="6">
        <v>900</v>
      </c>
      <c r="C20" s="4">
        <v>2100</v>
      </c>
      <c r="D20" s="4">
        <f t="shared" si="0"/>
        <v>43</v>
      </c>
      <c r="E20" s="4">
        <f t="shared" si="1"/>
        <v>500</v>
      </c>
      <c r="F20" s="4">
        <f t="shared" si="2"/>
        <v>0.79</v>
      </c>
      <c r="G20" s="4">
        <f t="shared" si="2"/>
        <v>0.9</v>
      </c>
      <c r="H20" s="4">
        <f t="shared" si="4"/>
        <v>900</v>
      </c>
      <c r="I20" s="8">
        <v>360.65949505932008</v>
      </c>
      <c r="J20" s="3">
        <v>1.1292368430581752</v>
      </c>
      <c r="K20" s="9">
        <v>2.0816011972437822</v>
      </c>
      <c r="L20" s="4">
        <v>1066.1540003597866</v>
      </c>
      <c r="M20" s="3"/>
      <c r="N20" s="3"/>
      <c r="O20" s="3"/>
      <c r="P20" s="3"/>
      <c r="Q20" s="3"/>
      <c r="R20" s="3"/>
      <c r="S20" s="3"/>
      <c r="T20" s="3"/>
      <c r="U20" s="3"/>
    </row>
    <row r="21" spans="1:21">
      <c r="A21" s="3">
        <f t="shared" si="3"/>
        <v>15</v>
      </c>
      <c r="B21" s="6">
        <v>750</v>
      </c>
      <c r="C21" s="4">
        <v>2100</v>
      </c>
      <c r="D21" s="4">
        <f t="shared" si="0"/>
        <v>43</v>
      </c>
      <c r="E21" s="4">
        <f t="shared" si="1"/>
        <v>500</v>
      </c>
      <c r="F21" s="4">
        <f t="shared" si="2"/>
        <v>0.79</v>
      </c>
      <c r="G21" s="4">
        <f t="shared" si="2"/>
        <v>0.9</v>
      </c>
      <c r="H21" s="4">
        <f t="shared" si="4"/>
        <v>750</v>
      </c>
      <c r="I21" s="8">
        <v>291.45601585740422</v>
      </c>
      <c r="J21" s="3">
        <v>1.0990199426902674</v>
      </c>
      <c r="K21" s="9">
        <v>2.4129049267833631</v>
      </c>
      <c r="L21" s="4">
        <v>1066.1540003597866</v>
      </c>
      <c r="M21" s="3"/>
      <c r="N21" s="3"/>
      <c r="O21" s="3"/>
      <c r="P21" s="3"/>
      <c r="Q21" s="3"/>
      <c r="R21" s="3"/>
      <c r="S21" s="3"/>
      <c r="T21" s="3"/>
      <c r="U21" s="3"/>
    </row>
    <row r="22" spans="1:21">
      <c r="A22" s="3">
        <f t="shared" si="3"/>
        <v>16</v>
      </c>
      <c r="B22" s="6">
        <v>600</v>
      </c>
      <c r="C22" s="4">
        <v>2100</v>
      </c>
      <c r="D22" s="4">
        <f t="shared" si="0"/>
        <v>43</v>
      </c>
      <c r="E22" s="4">
        <f t="shared" si="1"/>
        <v>500</v>
      </c>
      <c r="F22" s="4">
        <f t="shared" si="2"/>
        <v>0.79</v>
      </c>
      <c r="G22" s="4">
        <f t="shared" si="2"/>
        <v>0.9</v>
      </c>
      <c r="H22" s="4">
        <f t="shared" si="4"/>
        <v>600</v>
      </c>
      <c r="I22" s="8">
        <v>224.95533666614804</v>
      </c>
      <c r="J22" s="3">
        <v>1.0711074212783798</v>
      </c>
      <c r="K22" s="9">
        <v>2.8194687388215161</v>
      </c>
      <c r="L22" s="4">
        <v>1066.1540003597866</v>
      </c>
      <c r="M22" s="3"/>
      <c r="N22" s="3"/>
      <c r="O22" s="3"/>
      <c r="P22" s="3"/>
      <c r="Q22" s="3"/>
      <c r="R22" s="3"/>
      <c r="S22" s="3"/>
      <c r="T22" s="3"/>
      <c r="U22" s="3"/>
    </row>
    <row r="23" spans="1:21">
      <c r="A23" s="3">
        <f t="shared" si="3"/>
        <v>17</v>
      </c>
      <c r="B23" s="6">
        <v>450</v>
      </c>
      <c r="C23" s="4">
        <v>2100</v>
      </c>
      <c r="D23" s="4">
        <f t="shared" si="0"/>
        <v>43</v>
      </c>
      <c r="E23" s="4">
        <f t="shared" si="1"/>
        <v>500</v>
      </c>
      <c r="F23" s="4">
        <f t="shared" ref="F23:G25" si="5">IF(F22&lt;&gt;"",F22,"")</f>
        <v>0.79</v>
      </c>
      <c r="G23" s="4">
        <f t="shared" si="5"/>
        <v>0.9</v>
      </c>
      <c r="H23" s="4">
        <f t="shared" si="4"/>
        <v>450</v>
      </c>
      <c r="I23" s="8">
        <v>161.669205002279</v>
      </c>
      <c r="J23" s="3">
        <v>1.0457598044740937</v>
      </c>
      <c r="K23" s="9">
        <v>3.3213972858970755</v>
      </c>
      <c r="L23" s="4">
        <v>1066.1540003597866</v>
      </c>
      <c r="M23" s="3"/>
      <c r="N23" s="3"/>
      <c r="O23" s="3"/>
      <c r="P23" s="3"/>
      <c r="Q23" s="3"/>
      <c r="R23" s="3"/>
      <c r="S23" s="3"/>
      <c r="T23" s="3"/>
      <c r="U23" s="3"/>
    </row>
    <row r="24" spans="1:21">
      <c r="A24" s="3">
        <f t="shared" si="3"/>
        <v>18</v>
      </c>
      <c r="B24" s="6">
        <v>300</v>
      </c>
      <c r="C24" s="4">
        <v>2100</v>
      </c>
      <c r="D24" s="4">
        <f t="shared" si="0"/>
        <v>43</v>
      </c>
      <c r="E24" s="4">
        <f t="shared" si="1"/>
        <v>500</v>
      </c>
      <c r="F24" s="4">
        <f t="shared" si="5"/>
        <v>0.79</v>
      </c>
      <c r="G24" s="4">
        <f t="shared" si="5"/>
        <v>0.9</v>
      </c>
      <c r="H24" s="4">
        <f t="shared" si="4"/>
        <v>300</v>
      </c>
      <c r="I24" s="8">
        <v>102.40181364134411</v>
      </c>
      <c r="J24" s="3">
        <v>1.023345020004413</v>
      </c>
      <c r="K24" s="9">
        <v>3.9420443455291627</v>
      </c>
      <c r="L24" s="4">
        <v>1066.1540003597866</v>
      </c>
      <c r="M24" s="3"/>
      <c r="N24" s="3"/>
      <c r="O24" s="3"/>
      <c r="P24" s="3"/>
      <c r="Q24" s="3"/>
      <c r="R24" s="3"/>
      <c r="S24" s="3"/>
      <c r="T24" s="3"/>
      <c r="U24" s="3"/>
    </row>
    <row r="25" spans="1:21">
      <c r="A25" s="3">
        <f t="shared" si="3"/>
        <v>19</v>
      </c>
      <c r="B25" s="7">
        <v>150</v>
      </c>
      <c r="C25" s="4">
        <v>2100</v>
      </c>
      <c r="D25" s="4">
        <f t="shared" si="0"/>
        <v>43</v>
      </c>
      <c r="E25" s="4">
        <f t="shared" si="1"/>
        <v>500</v>
      </c>
      <c r="F25" s="4">
        <f t="shared" si="5"/>
        <v>0.79</v>
      </c>
      <c r="G25" s="4">
        <f t="shared" si="5"/>
        <v>0.9</v>
      </c>
      <c r="H25" s="4">
        <f t="shared" si="4"/>
        <v>150</v>
      </c>
      <c r="I25" s="13">
        <v>48.647867386984366</v>
      </c>
      <c r="J25" s="14">
        <v>1.0044503376760296</v>
      </c>
      <c r="K25" s="15">
        <v>4.6970305892190227</v>
      </c>
      <c r="L25" s="4">
        <v>1066.1540003597866</v>
      </c>
      <c r="M25" s="3"/>
      <c r="N25" s="3"/>
      <c r="O25" s="3"/>
      <c r="P25" s="3"/>
      <c r="Q25" s="3"/>
      <c r="R25" s="3"/>
      <c r="S25" s="3"/>
      <c r="T25" s="3"/>
      <c r="U25" s="3"/>
    </row>
    <row r="26" spans="1:21">
      <c r="A26" s="3"/>
      <c r="C26" s="4"/>
      <c r="D26" s="4"/>
      <c r="E26" s="4"/>
      <c r="F26" s="4"/>
      <c r="G26" s="4"/>
      <c r="H26" s="4"/>
    </row>
  </sheetData>
  <mergeCells count="3">
    <mergeCell ref="A4:A5"/>
    <mergeCell ref="I2:K2"/>
    <mergeCell ref="B3:G4"/>
  </mergeCells>
  <dataValidations count="2">
    <dataValidation type="list" showInputMessage="1" showErrorMessage="1" errorTitle="Entrada no válida." error="Seleccione una correlación de la lista." promptTitle="Correlaciones." prompt="Seleccione una correlación de la lista." sqref="I4:J4" xr:uid="{5C5263F7-4217-4D31-8953-5CC05EE61E50}">
      <formula1>$AA$5:$AA$6</formula1>
    </dataValidation>
    <dataValidation type="list" showInputMessage="1" showErrorMessage="1" errorTitle="Entrada no válida." error="Seleccione una correlación de la lista." promptTitle="Correlación." prompt="Seleccione una correlaciónde la lista." sqref="K4" xr:uid="{A21A3519-D24F-4FEB-BAB8-A1904E2D7A77}">
      <formula1>$AB$5:$AB$6</formula1>
    </dataValidation>
  </dataValidations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mpleCall">
                <anchor moveWithCells="1" sizeWithCells="1">
                  <from>
                    <xdr:col>11</xdr:col>
                    <xdr:colOff>213360</xdr:colOff>
                    <xdr:row>2</xdr:row>
                    <xdr:rowOff>144780</xdr:rowOff>
                  </from>
                  <to>
                    <xdr:col>13</xdr:col>
                    <xdr:colOff>373380</xdr:colOff>
                    <xdr:row>6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F6987E-37ED-44D3-9EFC-9C45E34FE5FE}">
  <sheetPr codeName="Sheet3"/>
  <dimension ref="A1"/>
  <sheetViews>
    <sheetView workbookViewId="0"/>
  </sheetViews>
  <sheetFormatPr defaultColWidth="11.19921875" defaultRowHeight="15.6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defaultColWidth="8.8984375" defaultRowHeight="15.6"/>
  <cols>
    <col min="1" max="1" width="14.69921875" style="1" customWidth="1"/>
    <col min="2" max="2" width="9.19921875" style="1" customWidth="1"/>
    <col min="3" max="16384" width="8.8984375" style="1"/>
  </cols>
  <sheetData>
    <row r="1" spans="1:2">
      <c r="A1" s="1" t="s">
        <v>8</v>
      </c>
      <c r="B1" s="1" t="s">
        <v>13</v>
      </c>
    </row>
    <row r="2" spans="1:2">
      <c r="A2" s="1" t="s">
        <v>9</v>
      </c>
    </row>
    <row r="3" spans="1:2">
      <c r="A3" s="1" t="s">
        <v>0</v>
      </c>
    </row>
    <row r="4" spans="1:2">
      <c r="A4" s="1" t="s">
        <v>7</v>
      </c>
    </row>
    <row r="5" spans="1:2">
      <c r="A5" s="1" t="s">
        <v>5</v>
      </c>
    </row>
    <row r="6" spans="1:2">
      <c r="A6" s="1" t="s">
        <v>1</v>
      </c>
    </row>
    <row r="7" spans="1:2">
      <c r="A7" s="1" t="s">
        <v>2</v>
      </c>
      <c r="B7" s="1" t="b">
        <v>0</v>
      </c>
    </row>
    <row r="8" spans="1:2">
      <c r="A8" s="1" t="s">
        <v>3</v>
      </c>
      <c r="B8" s="1" t="b">
        <v>0</v>
      </c>
    </row>
    <row r="9" spans="1:2">
      <c r="A9" s="1" t="s">
        <v>14</v>
      </c>
      <c r="B9" s="1" t="b">
        <v>0</v>
      </c>
    </row>
    <row r="13" spans="1:2">
      <c r="A13" s="2" t="s">
        <v>4</v>
      </c>
    </row>
    <row r="14" spans="1:2">
      <c r="A14" s="1" t="s">
        <v>10</v>
      </c>
    </row>
    <row r="15" spans="1:2">
      <c r="A15" s="1" t="s">
        <v>11</v>
      </c>
    </row>
    <row r="16" spans="1:2">
      <c r="A16" s="1" t="s">
        <v>6</v>
      </c>
    </row>
    <row r="17" spans="1:1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Summary</vt:lpstr>
      <vt:lpstr>Results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Freddy Carrión</cp:lastModifiedBy>
  <dcterms:created xsi:type="dcterms:W3CDTF">2015-01-25T11:31:25Z</dcterms:created>
  <dcterms:modified xsi:type="dcterms:W3CDTF">2022-11-30T15:09:15Z</dcterms:modified>
</cp:coreProperties>
</file>